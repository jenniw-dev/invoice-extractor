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Invoice Extractor — Summary</t>
        </is>
      </c>
    </row>
    <row r="3">
      <c r="A3" t="inlineStr">
        <is>
          <t>Invoices processed</t>
        </is>
      </c>
      <c r="B3">
        <f>COUNTA(Invoices!B2:B)</f>
        <v/>
      </c>
    </row>
    <row r="4">
      <c r="A4" t="inlineStr">
        <is>
          <t>OK</t>
        </is>
      </c>
      <c r="B4">
        <f>COUNTIF(Invoices!C2:C,"OK")</f>
        <v/>
      </c>
    </row>
    <row r="5">
      <c r="A5" t="inlineStr">
        <is>
          <t>Needs review</t>
        </is>
      </c>
      <c r="B5">
        <f>COUNTIF(Invoices!C2:C,"Needs review")</f>
        <v/>
      </c>
    </row>
    <row r="6">
      <c r="A6" t="inlineStr">
        <is>
          <t>Extraction failed</t>
        </is>
      </c>
      <c r="B6">
        <f>COUNTIF(Invoices!C2:C,"Extraction failed")</f>
        <v/>
      </c>
    </row>
    <row r="9">
      <c r="A9" s="2" t="inlineStr">
        <is>
          <t>Spend by category (USD lines)</t>
        </is>
      </c>
    </row>
    <row r="10">
      <c r="A10" s="3" t="inlineStr">
        <is>
          <t>Category</t>
        </is>
      </c>
      <c r="B10" s="3" t="inlineStr">
        <is>
          <t>Amount</t>
        </is>
      </c>
      <c r="C10" s="3" t="inlineStr">
        <is>
          <t>Lines</t>
        </is>
      </c>
    </row>
    <row r="11">
      <c r="A11" t="inlineStr">
        <is>
          <t>Software &amp; Subscriptions</t>
        </is>
      </c>
      <c r="B11" s="4">
        <f>SUMIFS('Line Items'!I2:I,'Line Items'!F2:F,A11,'Line Items'!J2:J,"USD")</f>
        <v/>
      </c>
      <c r="C11">
        <f>COUNTIF('Line Items'!F2:F,A11)</f>
        <v/>
      </c>
    </row>
    <row r="12">
      <c r="A12" t="inlineStr">
        <is>
          <t>Office Supplies</t>
        </is>
      </c>
      <c r="B12" s="4">
        <f>SUMIFS('Line Items'!I2:I,'Line Items'!F2:F,A12,'Line Items'!J2:J,"USD")</f>
        <v/>
      </c>
      <c r="C12">
        <f>COUNTIF('Line Items'!F2:F,A12)</f>
        <v/>
      </c>
    </row>
    <row r="13">
      <c r="A13" t="inlineStr">
        <is>
          <t>Equipment</t>
        </is>
      </c>
      <c r="B13" s="4">
        <f>SUMIFS('Line Items'!I2:I,'Line Items'!F2:F,A13,'Line Items'!J2:J,"USD")</f>
        <v/>
      </c>
      <c r="C13">
        <f>COUNTIF('Line Items'!F2:F,A13)</f>
        <v/>
      </c>
    </row>
    <row r="14">
      <c r="A14" t="inlineStr">
        <is>
          <t>Travel</t>
        </is>
      </c>
      <c r="B14" s="4">
        <f>SUMIFS('Line Items'!I2:I,'Line Items'!F2:F,A14,'Line Items'!J2:J,"USD")</f>
        <v/>
      </c>
      <c r="C14">
        <f>COUNTIF('Line Items'!F2:F,A14)</f>
        <v/>
      </c>
    </row>
    <row r="15">
      <c r="A15" t="inlineStr">
        <is>
          <t>Meals &amp; Entertainment</t>
        </is>
      </c>
      <c r="B15" s="4">
        <f>SUMIFS('Line Items'!I2:I,'Line Items'!F2:F,A15,'Line Items'!J2:J,"USD")</f>
        <v/>
      </c>
      <c r="C15">
        <f>COUNTIF('Line Items'!F2:F,A15)</f>
        <v/>
      </c>
    </row>
    <row r="16">
      <c r="A16" t="inlineStr">
        <is>
          <t>Advertising &amp; Marketing</t>
        </is>
      </c>
      <c r="B16" s="4">
        <f>SUMIFS('Line Items'!I2:I,'Line Items'!F2:F,A16,'Line Items'!J2:J,"USD")</f>
        <v/>
      </c>
      <c r="C16">
        <f>COUNTIF('Line Items'!F2:F,A16)</f>
        <v/>
      </c>
    </row>
    <row r="17">
      <c r="A17" t="inlineStr">
        <is>
          <t>Professional Services</t>
        </is>
      </c>
      <c r="B17" s="4">
        <f>SUMIFS('Line Items'!I2:I,'Line Items'!F2:F,A17,'Line Items'!J2:J,"USD")</f>
        <v/>
      </c>
      <c r="C17">
        <f>COUNTIF('Line Items'!F2:F,A17)</f>
        <v/>
      </c>
    </row>
    <row r="18">
      <c r="A18" t="inlineStr">
        <is>
          <t>Shipping &amp; Logistics</t>
        </is>
      </c>
      <c r="B18" s="4">
        <f>SUMIFS('Line Items'!I2:I,'Line Items'!F2:F,A18,'Line Items'!J2:J,"USD")</f>
        <v/>
      </c>
      <c r="C18">
        <f>COUNTIF('Line Items'!F2:F,A18)</f>
        <v/>
      </c>
    </row>
    <row r="19">
      <c r="A19" t="inlineStr">
        <is>
          <t>Rent &amp; Utilities</t>
        </is>
      </c>
      <c r="B19" s="4">
        <f>SUMIFS('Line Items'!I2:I,'Line Items'!F2:F,A19,'Line Items'!J2:J,"USD")</f>
        <v/>
      </c>
      <c r="C19">
        <f>COUNTIF('Line Items'!F2:F,A19)</f>
        <v/>
      </c>
    </row>
    <row r="20">
      <c r="A20" t="inlineStr">
        <is>
          <t>Other</t>
        </is>
      </c>
      <c r="B20" s="4">
        <f>SUMIFS('Line Items'!I2:I,'Line Items'!F2:F,A20,'Line Items'!J2:J,"USD")</f>
        <v/>
      </c>
      <c r="C20">
        <f>COUNTIF('Line Items'!F2:F,A20)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7" customWidth="1" min="15" max="15"/>
    <col width="12" customWidth="1" min="16" max="16"/>
    <col width="16" customWidth="1" min="17" max="17"/>
  </cols>
  <sheetData>
    <row r="1">
      <c r="A1" s="3" t="inlineStr">
        <is>
          <t>processed_at_utc</t>
        </is>
      </c>
      <c r="B1" s="3" t="inlineStr">
        <is>
          <t>file</t>
        </is>
      </c>
      <c r="C1" s="3" t="inlineStr">
        <is>
          <t>status</t>
        </is>
      </c>
      <c r="D1" s="3" t="inlineStr">
        <is>
          <t>issues</t>
        </is>
      </c>
      <c r="E1" s="3" t="inlineStr">
        <is>
          <t>vendor</t>
        </is>
      </c>
      <c r="F1" s="3" t="inlineStr">
        <is>
          <t>invoice_number</t>
        </is>
      </c>
      <c r="G1" s="3" t="inlineStr">
        <is>
          <t>invoice_date</t>
        </is>
      </c>
      <c r="H1" s="3" t="inlineStr">
        <is>
          <t>due_date</t>
        </is>
      </c>
      <c r="I1" s="3" t="inlineStr">
        <is>
          <t>currency</t>
        </is>
      </c>
      <c r="J1" s="3" t="inlineStr">
        <is>
          <t>subtotal</t>
        </is>
      </c>
      <c r="K1" s="3" t="inlineStr">
        <is>
          <t>tax_rate</t>
        </is>
      </c>
      <c r="L1" s="3" t="inlineStr">
        <is>
          <t>tax</t>
        </is>
      </c>
      <c r="M1" s="3" t="inlineStr">
        <is>
          <t>total</t>
        </is>
      </c>
      <c r="N1" s="3" t="inlineStr">
        <is>
          <t>line_items_sum</t>
        </is>
      </c>
      <c r="O1" s="3" t="inlineStr">
        <is>
          <t>line_item_count</t>
        </is>
      </c>
      <c r="P1" s="3" t="inlineStr">
        <is>
          <t>bill_to</t>
        </is>
      </c>
      <c r="Q1" s="3" t="inlineStr">
        <is>
          <t>vendor_address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invoice_number</t>
        </is>
      </c>
      <c r="B1" s="3" t="inlineStr">
        <is>
          <t>vendor</t>
        </is>
      </c>
      <c r="C1" s="3" t="inlineStr">
        <is>
          <t>invoice_date</t>
        </is>
      </c>
      <c r="D1" s="3" t="inlineStr">
        <is>
          <t>line</t>
        </is>
      </c>
      <c r="E1" s="3" t="inlineStr">
        <is>
          <t>description</t>
        </is>
      </c>
      <c r="F1" s="3" t="inlineStr">
        <is>
          <t>category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amount</t>
        </is>
      </c>
      <c r="J1" s="3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2026-10-17T03:13:05Z</dcterms:created>
  <dcterms:modified xmlns:dcterms="http://purl.org/dc/terms/" xmlns:xsi="http://www.w3.org/2001/XMLSchema-instance" xsi:type="dcterms:W3CDTF">2026-10-17T03:13:05Z</dcterms:modified>
</cp:coreProperties>
</file>